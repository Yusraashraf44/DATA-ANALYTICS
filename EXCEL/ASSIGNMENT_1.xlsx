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XCEL_NEW\ASSIGNMENTS\"/>
    </mc:Choice>
  </mc:AlternateContent>
  <xr:revisionPtr revIDLastSave="0" documentId="8_{A3B08AFF-BE55-48B4-BBBF-ADBE38303E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N4" i="2"/>
  <c r="N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N16" i="2"/>
  <c r="N14" i="2"/>
  <c r="N12" i="2"/>
  <c r="N10" i="2"/>
  <c r="N8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<sst xmlns="http://schemas.openxmlformats.org/spreadsheetml/2006/main" count="170" uniqueCount="121">
  <si>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</si>
  <si>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</si>
  <si>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</si>
  <si>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</si>
  <si>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</si>
  <si>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</si>
  <si>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</si>
  <si>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</si>
  <si>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</si>
  <si>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</si>
  <si>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</si>
  <si>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</si>
  <si>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</si>
  <si>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</si>
  <si>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</si>
  <si>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</si>
  <si>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</si>
  <si>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</si>
  <si>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</si>
  <si>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</si>
  <si>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</si>
  <si>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</si>
  <si>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</si>
  <si>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</si>
  <si>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</si>
  <si>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</si>
  <si>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</si>
  <si>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</si>
  <si>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</si>
  <si>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</si>
  <si>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</si>
  <si>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</si>
  <si>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</si>
  <si>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</si>
  <si>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</si>
  <si>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</si>
  <si>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</si>
  <si>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</si>
  <si>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</si>
  <si>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</si>
  <si>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</si>
  <si>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</si>
  <si>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</si>
  <si>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</si>
  <si>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</si>
  <si>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</si>
  <si>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</si>
  <si>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</si>
  <si>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</si>
  <si>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</si>
  <si>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</si>
  <si>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</si>
  <si>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</si>
  <si>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</si>
  <si>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</si>
  <si>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</si>
  <si>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</si>
  <si>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</si>
  <si>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</si>
  <si>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</si>
  <si>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</si>
  <si>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</si>
  <si>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</si>
  <si>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</si>
  <si>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</si>
  <si>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</si>
  <si>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</si>
  <si>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</si>
  <si>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</si>
  <si>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</si>
  <si>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</si>
  <si>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</si>
  <si>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</si>
  <si>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</si>
  <si>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</si>
  <si>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</si>
  <si>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</si>
  <si>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</si>
  <si>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</si>
  <si>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</si>
  <si>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</si>
  <si>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</si>
  <si>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</si>
  <si>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</si>
  <si>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</si>
  <si>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</si>
  <si>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</si>
  <si>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</si>
  <si>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</si>
  <si>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</si>
  <si>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</si>
  <si>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</si>
  <si>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</si>
  <si>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</si>
  <si>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</si>
  <si>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</si>
  <si>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</si>
  <si>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</si>
  <si>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</si>
  <si>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</si>
  <si>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</si>
  <si>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</si>
  <si>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</si>
  <si>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</si>
  <si>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</si>
  <si>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</si>
  <si>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</si>
  <si>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</si>
  <si>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</si>
  <si>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</si>
  <si>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</si>
  <si>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SUM</t>
  </si>
  <si>
    <t>COUNT</t>
  </si>
  <si>
    <t>AVERAGE PRICE</t>
  </si>
  <si>
    <t>MINIMUM PRICE</t>
  </si>
  <si>
    <t>MAXIMUM PRICE</t>
  </si>
  <si>
    <t>SUMIF</t>
  </si>
  <si>
    <t>COUNTIF</t>
  </si>
  <si>
    <t>Country Code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</si>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</sst>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/>
    <xf numFmtId="0" fontId="8" fillId="2" borderId="0" xfId="0" applyFont="1" applyFill="1" applyAlignment="1">
      <alignment horizont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K22" sqref="C22:K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zoomScale="102" zoomScaleNormal="107" workbookViewId="0">
      <selection activeCell="J2" sqref="J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8.21875" customWidth="1"/>
    <col min="8" max="8" width="13.6640625" customWidth="1"/>
    <col min="9" max="9" width="16.6640625" customWidth="1"/>
    <col min="10" max="10" width="13" customWidth="1"/>
    <col min="11" max="11" width="17.44140625" customWidth="1"/>
    <col min="12" max="12" width="19.88671875" customWidth="1"/>
    <col min="13" max="13" width="22.44140625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110</v>
      </c>
      <c r="H1" s="10" t="s">
        <v>120</v>
      </c>
      <c r="I1" s="10" t="s">
        <v>118</v>
      </c>
      <c r="J1" s="10" t="s">
        <v>119</v>
      </c>
    </row>
    <row r="2" spans="1:14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s="11" t="str">
        <f>LEFT(A2,2)</f>
        <v>28</v>
      </c>
      <c r="I2" s="7" t="str">
        <f>RIGHT(A2,2)</f>
        <v>US</v>
      </c>
      <c r="J2" t="str">
        <f>MID(A2,4,3)</f>
        <v>JAN</v>
      </c>
    </row>
    <row r="3" spans="1:14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>IF(D3&gt;=500,"High Price","Standard Price")</f>
        <v>Standard Price</v>
      </c>
      <c r="H3" s="11" t="str">
        <f t="shared" ref="H3:H38" si="0">LEFT(A3,2)</f>
        <v>15</v>
      </c>
      <c r="I3" s="7" t="str">
        <f t="shared" ref="I3:I35" si="1">RIGHT(A3,2)</f>
        <v>US</v>
      </c>
      <c r="J3" t="str">
        <f t="shared" ref="J3:J35" si="2">MID(A3,4,3)</f>
        <v>FEB</v>
      </c>
    </row>
    <row r="4" spans="1:14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ref="G3:G35" si="3">IF(D4&gt;=500,"High Price","Standard Price")</f>
        <v>Standard Price</v>
      </c>
      <c r="H4" s="11" t="str">
        <f t="shared" si="0"/>
        <v>03</v>
      </c>
      <c r="I4" s="7" t="str">
        <f t="shared" si="1"/>
        <v>US</v>
      </c>
      <c r="J4" t="str">
        <f t="shared" si="2"/>
        <v>MAR</v>
      </c>
      <c r="M4" s="9" t="s">
        <v>111</v>
      </c>
      <c r="N4">
        <f>SUM(D2:D35)</f>
        <v>10100</v>
      </c>
    </row>
    <row r="5" spans="1:14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3"/>
        <v>High Price</v>
      </c>
      <c r="H5" s="11" t="str">
        <f t="shared" si="0"/>
        <v>11</v>
      </c>
      <c r="I5" s="7" t="str">
        <f t="shared" si="1"/>
        <v>US</v>
      </c>
      <c r="J5" t="str">
        <f t="shared" si="2"/>
        <v>APR</v>
      </c>
      <c r="K5" s="9"/>
    </row>
    <row r="6" spans="1:14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3"/>
        <v>Standard Price</v>
      </c>
      <c r="H6" s="11" t="str">
        <f t="shared" si="0"/>
        <v>22</v>
      </c>
      <c r="I6" s="7" t="str">
        <f t="shared" si="1"/>
        <v>US</v>
      </c>
      <c r="J6" t="str">
        <f t="shared" si="2"/>
        <v>MAY</v>
      </c>
      <c r="M6" s="9" t="s">
        <v>112</v>
      </c>
      <c r="N6">
        <f>COUNTA(B2:B35)</f>
        <v>34</v>
      </c>
    </row>
    <row r="7" spans="1:14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3"/>
        <v>Standard Price</v>
      </c>
      <c r="H7" s="11" t="str">
        <f t="shared" si="0"/>
        <v>07</v>
      </c>
      <c r="I7" s="7" t="str">
        <f t="shared" si="1"/>
        <v>UK</v>
      </c>
      <c r="J7" t="str">
        <f t="shared" si="2"/>
        <v>JUN</v>
      </c>
      <c r="K7" s="9"/>
    </row>
    <row r="8" spans="1:14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3"/>
        <v>Standard Price</v>
      </c>
      <c r="H8" s="11" t="str">
        <f t="shared" si="0"/>
        <v>19</v>
      </c>
      <c r="I8" s="7" t="str">
        <f t="shared" si="1"/>
        <v>UK</v>
      </c>
      <c r="J8" t="str">
        <f t="shared" si="2"/>
        <v>JUL</v>
      </c>
      <c r="M8" s="9" t="s">
        <v>113</v>
      </c>
      <c r="N8">
        <f>AVERAGE(D2:D35)</f>
        <v>297.05882352941177</v>
      </c>
    </row>
    <row r="9" spans="1:14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3"/>
        <v>Standard Price</v>
      </c>
      <c r="H9" s="11" t="str">
        <f t="shared" si="0"/>
        <v>23</v>
      </c>
      <c r="I9" s="7" t="str">
        <f t="shared" si="1"/>
        <v>UK</v>
      </c>
      <c r="J9" t="str">
        <f t="shared" si="2"/>
        <v>AUG</v>
      </c>
      <c r="K9" s="9"/>
    </row>
    <row r="10" spans="1:14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3"/>
        <v>High Price</v>
      </c>
      <c r="H10" s="11" t="str">
        <f t="shared" si="0"/>
        <v>05</v>
      </c>
      <c r="I10" s="7" t="str">
        <f t="shared" si="1"/>
        <v>UK</v>
      </c>
      <c r="J10" t="str">
        <f t="shared" si="2"/>
        <v>SEP</v>
      </c>
      <c r="M10" s="9" t="s">
        <v>114</v>
      </c>
      <c r="N10">
        <f>MIN(D2:D35)</f>
        <v>30</v>
      </c>
    </row>
    <row r="11" spans="1:14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3"/>
        <v>Standard Price</v>
      </c>
      <c r="H11" s="11" t="str">
        <f t="shared" si="0"/>
        <v>14</v>
      </c>
      <c r="I11" s="7" t="str">
        <f t="shared" si="1"/>
        <v>UK</v>
      </c>
      <c r="J11" t="str">
        <f t="shared" si="2"/>
        <v>OCT</v>
      </c>
      <c r="K11" s="9"/>
    </row>
    <row r="12" spans="1:14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3"/>
        <v>High Price</v>
      </c>
      <c r="H12" s="11" t="str">
        <f t="shared" si="0"/>
        <v>17</v>
      </c>
      <c r="I12" s="7" t="str">
        <f t="shared" si="1"/>
        <v>IN</v>
      </c>
      <c r="J12" t="str">
        <f t="shared" si="2"/>
        <v>JUN</v>
      </c>
      <c r="M12" s="9" t="s">
        <v>115</v>
      </c>
      <c r="N12">
        <f>MAX(D2:D35)</f>
        <v>1000</v>
      </c>
    </row>
    <row r="13" spans="1:14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3"/>
        <v>Standard Price</v>
      </c>
      <c r="H13" s="11" t="str">
        <f t="shared" si="0"/>
        <v>25</v>
      </c>
      <c r="I13" s="7" t="str">
        <f t="shared" si="1"/>
        <v>AU</v>
      </c>
      <c r="J13" t="str">
        <f t="shared" si="2"/>
        <v>NOV</v>
      </c>
      <c r="K13" s="9"/>
    </row>
    <row r="14" spans="1:14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3"/>
        <v>Standard Price</v>
      </c>
      <c r="H14" s="11" t="str">
        <f t="shared" si="0"/>
        <v>08</v>
      </c>
      <c r="I14" s="7" t="str">
        <f t="shared" si="1"/>
        <v>DE</v>
      </c>
      <c r="J14" t="str">
        <f t="shared" si="2"/>
        <v>DEC</v>
      </c>
      <c r="M14" s="9" t="s">
        <v>116</v>
      </c>
      <c r="N14">
        <f>SUMIF(F2:F35,"Electronics",D2:D35)</f>
        <v>8050</v>
      </c>
    </row>
    <row r="15" spans="1:14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3"/>
        <v>Standard Price</v>
      </c>
      <c r="H15" s="11" t="str">
        <f t="shared" si="0"/>
        <v>18</v>
      </c>
      <c r="I15" s="7" t="str">
        <f t="shared" si="1"/>
        <v>CA</v>
      </c>
      <c r="J15" t="str">
        <f t="shared" si="2"/>
        <v>FEB</v>
      </c>
      <c r="K15" s="9"/>
    </row>
    <row r="16" spans="1:14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3"/>
        <v>Standard Price</v>
      </c>
      <c r="H16" s="11" t="str">
        <f t="shared" si="0"/>
        <v>16</v>
      </c>
      <c r="I16" s="7" t="str">
        <f t="shared" si="1"/>
        <v>ES</v>
      </c>
      <c r="J16" t="str">
        <f t="shared" si="2"/>
        <v>APR</v>
      </c>
      <c r="M16" s="9" t="s">
        <v>117</v>
      </c>
      <c r="N16">
        <f>COUNTIF(D2:D35,"&lt;100")</f>
        <v>11</v>
      </c>
    </row>
    <row r="17" spans="1:11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3"/>
        <v>Standard Price</v>
      </c>
      <c r="H17" s="11" t="str">
        <f t="shared" si="0"/>
        <v>21</v>
      </c>
      <c r="I17" s="7" t="str">
        <f t="shared" si="1"/>
        <v>CA</v>
      </c>
      <c r="J17" t="str">
        <f t="shared" si="2"/>
        <v>AUG</v>
      </c>
      <c r="K17" s="9"/>
    </row>
    <row r="18" spans="1:11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3"/>
        <v>Standard Price</v>
      </c>
      <c r="H18" s="11" t="str">
        <f t="shared" si="0"/>
        <v>20</v>
      </c>
      <c r="I18" s="7" t="str">
        <f t="shared" si="1"/>
        <v>CN</v>
      </c>
      <c r="J18" t="str">
        <f t="shared" si="2"/>
        <v>AUG</v>
      </c>
    </row>
    <row r="19" spans="1:11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3"/>
        <v>High Price</v>
      </c>
      <c r="H19" s="11" t="str">
        <f t="shared" si="0"/>
        <v>27</v>
      </c>
      <c r="I19" s="7" t="str">
        <f t="shared" si="1"/>
        <v>IT</v>
      </c>
      <c r="J19" t="str">
        <f t="shared" si="2"/>
        <v>JAN</v>
      </c>
    </row>
    <row r="20" spans="1:11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3"/>
        <v>Standard Price</v>
      </c>
      <c r="H20" s="11" t="str">
        <f t="shared" si="0"/>
        <v>01</v>
      </c>
      <c r="I20" s="7" t="str">
        <f t="shared" si="1"/>
        <v>UK</v>
      </c>
      <c r="J20" t="str">
        <f t="shared" si="2"/>
        <v>MAR</v>
      </c>
    </row>
    <row r="21" spans="1:11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3"/>
        <v>Standard Price</v>
      </c>
      <c r="H21" s="11" t="str">
        <f t="shared" si="0"/>
        <v>14</v>
      </c>
      <c r="I21" s="7" t="str">
        <f t="shared" si="1"/>
        <v>US</v>
      </c>
      <c r="J21" t="str">
        <f t="shared" si="2"/>
        <v>AUG</v>
      </c>
    </row>
    <row r="22" spans="1:11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3"/>
        <v>High Price</v>
      </c>
      <c r="H22" s="11" t="str">
        <f t="shared" si="0"/>
        <v>14</v>
      </c>
      <c r="I22" s="7" t="str">
        <f t="shared" si="1"/>
        <v>RU</v>
      </c>
      <c r="J22" t="str">
        <f t="shared" si="2"/>
        <v>MAY</v>
      </c>
    </row>
    <row r="23" spans="1:11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3"/>
        <v>Standard Price</v>
      </c>
      <c r="H23" s="11" t="str">
        <f t="shared" si="0"/>
        <v>09</v>
      </c>
      <c r="I23" s="7" t="str">
        <f t="shared" si="1"/>
        <v>CA</v>
      </c>
      <c r="J23" t="str">
        <f t="shared" si="2"/>
        <v>JAN</v>
      </c>
    </row>
    <row r="24" spans="1:11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3"/>
        <v>Standard Price</v>
      </c>
      <c r="H24" s="11" t="str">
        <f t="shared" si="0"/>
        <v>19</v>
      </c>
      <c r="I24" s="7" t="str">
        <f t="shared" si="1"/>
        <v>BR</v>
      </c>
      <c r="J24" t="str">
        <f t="shared" si="2"/>
        <v>JUL</v>
      </c>
    </row>
    <row r="25" spans="1:11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3"/>
        <v>Standard Price</v>
      </c>
      <c r="H25" s="11" t="str">
        <f t="shared" si="0"/>
        <v>21</v>
      </c>
      <c r="I25" s="7" t="str">
        <f t="shared" si="1"/>
        <v>CA</v>
      </c>
      <c r="J25" t="str">
        <f t="shared" si="2"/>
        <v>AUG</v>
      </c>
    </row>
    <row r="26" spans="1:11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3"/>
        <v>High Price</v>
      </c>
      <c r="H26" s="11" t="str">
        <f t="shared" si="0"/>
        <v>29</v>
      </c>
      <c r="I26" s="7" t="str">
        <f t="shared" si="1"/>
        <v>CA</v>
      </c>
      <c r="J26" t="str">
        <f t="shared" si="2"/>
        <v>SEP</v>
      </c>
    </row>
    <row r="27" spans="1:11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3"/>
        <v>Standard Price</v>
      </c>
      <c r="H27" s="11" t="str">
        <f t="shared" si="0"/>
        <v>03</v>
      </c>
      <c r="I27" s="7" t="str">
        <f t="shared" si="1"/>
        <v>CA</v>
      </c>
      <c r="J27" t="str">
        <f t="shared" si="2"/>
        <v>JUN</v>
      </c>
    </row>
    <row r="28" spans="1:11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3"/>
        <v>Standard Price</v>
      </c>
      <c r="H28" s="11" t="str">
        <f t="shared" si="0"/>
        <v>11</v>
      </c>
      <c r="I28" s="7" t="str">
        <f t="shared" si="1"/>
        <v>CA</v>
      </c>
      <c r="J28" t="str">
        <f t="shared" si="2"/>
        <v>JUL</v>
      </c>
    </row>
    <row r="29" spans="1:11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3"/>
        <v>Standard Price</v>
      </c>
      <c r="H29" s="11" t="str">
        <f t="shared" si="0"/>
        <v>16</v>
      </c>
      <c r="I29" s="7" t="str">
        <f t="shared" si="1"/>
        <v>ES</v>
      </c>
      <c r="J29" t="str">
        <f t="shared" si="2"/>
        <v>APR</v>
      </c>
    </row>
    <row r="30" spans="1:11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3"/>
        <v>Standard Price</v>
      </c>
      <c r="H30" s="11" t="str">
        <f t="shared" si="0"/>
        <v>07</v>
      </c>
      <c r="I30" s="7" t="str">
        <f t="shared" si="1"/>
        <v>CA</v>
      </c>
      <c r="J30" t="str">
        <f t="shared" si="2"/>
        <v>MAR</v>
      </c>
    </row>
    <row r="31" spans="1:11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3"/>
        <v>Standard Price</v>
      </c>
      <c r="H31" s="11" t="str">
        <f t="shared" si="0"/>
        <v>13</v>
      </c>
      <c r="I31" s="7" t="str">
        <f t="shared" si="1"/>
        <v>CA</v>
      </c>
      <c r="J31" t="str">
        <f t="shared" si="2"/>
        <v>APR</v>
      </c>
    </row>
    <row r="32" spans="1:11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3"/>
        <v>Standard Price</v>
      </c>
      <c r="H32" s="11" t="str">
        <f t="shared" si="0"/>
        <v>24</v>
      </c>
      <c r="I32" s="7" t="str">
        <f t="shared" si="1"/>
        <v>CA</v>
      </c>
      <c r="J32" t="str">
        <f t="shared" si="2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3"/>
        <v>Standard Price</v>
      </c>
      <c r="H33" s="11" t="str">
        <f t="shared" si="0"/>
        <v>02</v>
      </c>
      <c r="I33" s="7" t="str">
        <f t="shared" si="1"/>
        <v>CA</v>
      </c>
      <c r="J33" t="str">
        <f t="shared" si="2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3"/>
        <v>High Price</v>
      </c>
      <c r="H34" s="11" t="str">
        <f t="shared" si="0"/>
        <v>17</v>
      </c>
      <c r="I34" s="7" t="str">
        <f t="shared" si="1"/>
        <v>IN</v>
      </c>
      <c r="J34" t="str">
        <f t="shared" si="2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3"/>
        <v>Standard Price</v>
      </c>
      <c r="H35" s="11" t="str">
        <f t="shared" si="0"/>
        <v>09</v>
      </c>
      <c r="I35" s="7" t="str">
        <f t="shared" si="1"/>
        <v>FR</v>
      </c>
      <c r="J35" t="str">
        <f t="shared" si="2"/>
        <v>JUL</v>
      </c>
    </row>
    <row r="36" spans="1:10" ht="15.75" customHeight="1" x14ac:dyDescent="0.25">
      <c r="H36" s="7" t="str">
        <f t="shared" si="0"/>
        <v/>
      </c>
    </row>
    <row r="37" spans="1:10" ht="15.75" customHeight="1" x14ac:dyDescent="0.25">
      <c r="H37" s="7" t="str">
        <f t="shared" si="0"/>
        <v/>
      </c>
    </row>
    <row r="38" spans="1:10" ht="15.75" customHeight="1" x14ac:dyDescent="0.25">
      <c r="H38" s="7" t="str">
        <f t="shared" si="0"/>
        <v/>
      </c>
    </row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3">
      <c r="D43" s="2"/>
    </row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muhamed nishar</dc:creator>
  <cp:lastModifiedBy>yusra ashraf</cp:lastModifiedBy>
  <dcterms:created xsi:type="dcterms:W3CDTF">2026-08-26T13:27:12Z</dcterms:created>
  <dcterms:modified xsi:type="dcterms:W3CDTF">2026-08-26T13:27:12Z</dcterms:modified>
</cp:coreProperties>
</file>